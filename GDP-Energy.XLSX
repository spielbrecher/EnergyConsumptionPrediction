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H:\Programmer\Minenergo\"/>
    </mc:Choice>
  </mc:AlternateContent>
  <xr:revisionPtr revIDLastSave="0" documentId="13_ncr:1_{2A12AD21-E30D-4020-9AFC-43A393752D43}" xr6:coauthVersionLast="45" xr6:coauthVersionMax="45" xr10:uidLastSave="{00000000-0000-0000-0000-000000000000}"/>
  <bookViews>
    <workbookView xWindow="-120" yWindow="-120" windowWidth="29040" windowHeight="15840" activeTab="3" xr2:uid="{00000000-000D-0000-FFFF-FFFF00000000}"/>
  </bookViews>
  <sheets>
    <sheet name="GDPEnergy (2)" sheetId="4" r:id="rId1"/>
    <sheet name="Лист1" sheetId="1" r:id="rId2"/>
    <sheet name="Коррел" sheetId="3" r:id="rId3"/>
    <sheet name="GDPEnergy" sheetId="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4" i="4" l="1"/>
  <c r="B24" i="4" s="1"/>
  <c r="B23" i="4"/>
  <c r="B23" i="2" l="1"/>
  <c r="E2" i="1"/>
</calcChain>
</file>

<file path=xl/sharedStrings.xml><?xml version="1.0" encoding="utf-8"?>
<sst xmlns="http://schemas.openxmlformats.org/spreadsheetml/2006/main" count="18" uniqueCount="9">
  <si>
    <t>Факт</t>
  </si>
  <si>
    <t>ВВП</t>
  </si>
  <si>
    <t>ВВП в тек ценах</t>
  </si>
  <si>
    <t>Производство электроэнергии</t>
  </si>
  <si>
    <t>Год</t>
  </si>
  <si>
    <t>Year</t>
  </si>
  <si>
    <t>GDP</t>
  </si>
  <si>
    <t>GDPR</t>
  </si>
  <si>
    <t>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</si>
</sst>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>
    <font>
      <sz val="11"/>
      <color theme="1"/>
      <name val="Calibri"/>
      <family val="2"/>
      <scheme val="minor"/>
    </font>
    <font>
      <b/>
      <sz val="9"/>
      <color rgb="FF333333"/>
      <name val="Inherit"/>
    </font>
    <font>
      <sz val="9"/>
      <color rgb="FF000000"/>
      <name val="Arial"/>
      <family val="2"/>
      <charset val="204"/>
    </font>
    <font>
      <sz val="9"/>
      <color rgb="FF0EA600"/>
      <name val="Arial"/>
      <family val="2"/>
      <charset val="204"/>
    </font>
    <font>
      <sz val="9"/>
      <color rgb="FFFF0000"/>
      <name val="Arial"/>
      <family val="2"/>
      <charset val="204"/>
    </font>
    <font>
      <sz val="9"/>
      <color rgb="FF414141"/>
      <name val="Arial"/>
      <family val="2"/>
      <charset val="204"/>
    </font>
    <font>
      <sz val="11"/>
      <color rgb="FF202122"/>
      <name val="Arial"/>
      <family val="2"/>
      <charset val="204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DF4FA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BABABA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0" fontId="2" fillId="2" borderId="1" xfId="0" applyNumberFormat="1" applyFont="1" applyFill="1" applyBorder="1" applyAlignment="1">
      <alignment horizontal="right" vertical="center"/>
    </xf>
    <xf numFmtId="10" fontId="3" fillId="2" borderId="1" xfId="0" applyNumberFormat="1" applyFont="1" applyFill="1" applyBorder="1" applyAlignment="1">
      <alignment horizontal="right" vertical="center"/>
    </xf>
    <xf numFmtId="10" fontId="4" fillId="2" borderId="1" xfId="0" applyNumberFormat="1" applyFont="1" applyFill="1" applyBorder="1" applyAlignment="1">
      <alignment horizontal="right" vertical="center"/>
    </xf>
    <xf numFmtId="10" fontId="4" fillId="3" borderId="1" xfId="0" applyNumberFormat="1" applyFont="1" applyFill="1" applyBorder="1" applyAlignment="1">
      <alignment horizontal="right" vertical="center"/>
    </xf>
    <xf numFmtId="164" fontId="0" fillId="0" borderId="0" xfId="0" applyNumberFormat="1"/>
    <xf numFmtId="164" fontId="1" fillId="2" borderId="1" xfId="0" applyNumberFormat="1" applyFont="1" applyFill="1" applyBorder="1" applyAlignment="1">
      <alignment horizontal="left" vertical="center" wrapText="1"/>
    </xf>
    <xf numFmtId="164" fontId="1" fillId="3" borderId="1" xfId="0" applyNumberFormat="1" applyFont="1" applyFill="1" applyBorder="1" applyAlignment="1">
      <alignment horizontal="left" vertical="center" wrapText="1"/>
    </xf>
    <xf numFmtId="0" fontId="5" fillId="0" borderId="0" xfId="0" applyFont="1"/>
    <xf numFmtId="2" fontId="0" fillId="0" borderId="0" xfId="0" applyNumberFormat="1"/>
    <xf numFmtId="3" fontId="6" fillId="0" borderId="0" xfId="0" applyNumberFormat="1" applyFont="1"/>
    <xf numFmtId="0" fontId="0" fillId="0" borderId="0" xfId="0" applyFill="1" applyBorder="1" applyAlignment="1"/>
    <xf numFmtId="0" fontId="0" fillId="0" borderId="2" xfId="0" applyFill="1" applyBorder="1" applyAlignment="1"/>
    <xf numFmtId="0" fontId="7" fillId="0" borderId="3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'GDPEnergy (2)'!$D$1</c:f>
              <c:strCache>
                <c:ptCount val="1"/>
                <c:pt idx="0">
                  <c:v>PE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val>
            <c:numRef>
              <c:f>'GDPEnergy (2)'!$D$2:$D$24</c:f>
              <c:numCache>
                <c:formatCode>#,##0</c:formatCode>
                <c:ptCount val="23"/>
                <c:pt idx="0">
                  <c:v>827200</c:v>
                </c:pt>
                <c:pt idx="1">
                  <c:v>846200</c:v>
                </c:pt>
                <c:pt idx="2">
                  <c:v>877800</c:v>
                </c:pt>
                <c:pt idx="3">
                  <c:v>891300</c:v>
                </c:pt>
                <c:pt idx="4">
                  <c:v>891000</c:v>
                </c:pt>
                <c:pt idx="5">
                  <c:v>916000</c:v>
                </c:pt>
                <c:pt idx="6">
                  <c:v>932000</c:v>
                </c:pt>
                <c:pt idx="7">
                  <c:v>953100</c:v>
                </c:pt>
                <c:pt idx="8">
                  <c:v>995800</c:v>
                </c:pt>
                <c:pt idx="9">
                  <c:v>1015300</c:v>
                </c:pt>
                <c:pt idx="10">
                  <c:v>1040400</c:v>
                </c:pt>
                <c:pt idx="11">
                  <c:v>992000</c:v>
                </c:pt>
                <c:pt idx="12">
                  <c:v>1038000</c:v>
                </c:pt>
                <c:pt idx="13">
                  <c:v>1054800</c:v>
                </c:pt>
                <c:pt idx="14">
                  <c:v>1069300</c:v>
                </c:pt>
                <c:pt idx="15">
                  <c:v>1045015</c:v>
                </c:pt>
                <c:pt idx="16">
                  <c:v>1047447</c:v>
                </c:pt>
                <c:pt idx="17">
                  <c:v>1049904</c:v>
                </c:pt>
                <c:pt idx="18">
                  <c:v>1071841</c:v>
                </c:pt>
                <c:pt idx="19">
                  <c:v>1073724</c:v>
                </c:pt>
                <c:pt idx="20">
                  <c:v>1091079</c:v>
                </c:pt>
                <c:pt idx="21">
                  <c:v>1096200</c:v>
                </c:pt>
                <c:pt idx="22">
                  <c:v>772100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FB-4AD3-8D19-54CC55943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0236944"/>
        <c:axId val="1017747056"/>
      </c:lineChart>
      <c:catAx>
        <c:axId val="10302369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7747056"/>
        <c:crosses val="autoZero"/>
        <c:auto val="1"/>
        <c:lblAlgn val="ctr"/>
        <c:lblOffset val="100"/>
        <c:noMultiLvlLbl val="0"/>
      </c:catAx>
      <c:valAx>
        <c:axId val="101774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0236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Лист1!$C$1</c:f>
              <c:strCache>
                <c:ptCount val="1"/>
                <c:pt idx="0">
                  <c:v>ВВП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Лист1!$C$2:$C$52</c:f>
              <c:numCache>
                <c:formatCode>0.00</c:formatCode>
                <c:ptCount val="51"/>
                <c:pt idx="0">
                  <c:v>103.26</c:v>
                </c:pt>
                <c:pt idx="1">
                  <c:v>85.13</c:v>
                </c:pt>
                <c:pt idx="2">
                  <c:v>79.08</c:v>
                </c:pt>
                <c:pt idx="3">
                  <c:v>74.48</c:v>
                </c:pt>
                <c:pt idx="4">
                  <c:v>76.87</c:v>
                </c:pt>
                <c:pt idx="5">
                  <c:v>79.53</c:v>
                </c:pt>
                <c:pt idx="6">
                  <c:v>90.41</c:v>
                </c:pt>
                <c:pt idx="7">
                  <c:v>90.5</c:v>
                </c:pt>
                <c:pt idx="8">
                  <c:v>100.31</c:v>
                </c:pt>
                <c:pt idx="9">
                  <c:v>83.62</c:v>
                </c:pt>
                <c:pt idx="10">
                  <c:v>77.959999999999994</c:v>
                </c:pt>
                <c:pt idx="11">
                  <c:v>79.23</c:v>
                </c:pt>
                <c:pt idx="12">
                  <c:v>92.01</c:v>
                </c:pt>
                <c:pt idx="13">
                  <c:v>95.11</c:v>
                </c:pt>
                <c:pt idx="14">
                  <c:v>103.34</c:v>
                </c:pt>
                <c:pt idx="15">
                  <c:v>94.7</c:v>
                </c:pt>
                <c:pt idx="16">
                  <c:v>85.8</c:v>
                </c:pt>
                <c:pt idx="17">
                  <c:v>74.7</c:v>
                </c:pt>
                <c:pt idx="18">
                  <c:v>77.400000000000006</c:v>
                </c:pt>
                <c:pt idx="19">
                  <c:v>79.3</c:v>
                </c:pt>
                <c:pt idx="20">
                  <c:v>95.1</c:v>
                </c:pt>
                <c:pt idx="21">
                  <c:v>100.3</c:v>
                </c:pt>
                <c:pt idx="22">
                  <c:v>83.9</c:v>
                </c:pt>
                <c:pt idx="23">
                  <c:v>76.5</c:v>
                </c:pt>
                <c:pt idx="24">
                  <c:v>82.13</c:v>
                </c:pt>
                <c:pt idx="25">
                  <c:v>92.78</c:v>
                </c:pt>
                <c:pt idx="26">
                  <c:v>102.79</c:v>
                </c:pt>
                <c:pt idx="27">
                  <c:v>103.53</c:v>
                </c:pt>
                <c:pt idx="28">
                  <c:v>94.62</c:v>
                </c:pt>
                <c:pt idx="29">
                  <c:v>100.5</c:v>
                </c:pt>
                <c:pt idx="30">
                  <c:v>87</c:v>
                </c:pt>
                <c:pt idx="31">
                  <c:v>82.18</c:v>
                </c:pt>
                <c:pt idx="32">
                  <c:v>78.989999999999995</c:v>
                </c:pt>
                <c:pt idx="33">
                  <c:v>81.78</c:v>
                </c:pt>
                <c:pt idx="34">
                  <c:v>82.87</c:v>
                </c:pt>
                <c:pt idx="35">
                  <c:v>82.3</c:v>
                </c:pt>
                <c:pt idx="36">
                  <c:v>91.85</c:v>
                </c:pt>
                <c:pt idx="37">
                  <c:v>98.02</c:v>
                </c:pt>
                <c:pt idx="38">
                  <c:v>108.06</c:v>
                </c:pt>
                <c:pt idx="39">
                  <c:v>91.37</c:v>
                </c:pt>
                <c:pt idx="40">
                  <c:v>91.37</c:v>
                </c:pt>
                <c:pt idx="41">
                  <c:v>91.37</c:v>
                </c:pt>
                <c:pt idx="42">
                  <c:v>91.37</c:v>
                </c:pt>
                <c:pt idx="43">
                  <c:v>91.37</c:v>
                </c:pt>
                <c:pt idx="44">
                  <c:v>91.37</c:v>
                </c:pt>
                <c:pt idx="45">
                  <c:v>91.37</c:v>
                </c:pt>
                <c:pt idx="46">
                  <c:v>91.37</c:v>
                </c:pt>
                <c:pt idx="47">
                  <c:v>91.37</c:v>
                </c:pt>
                <c:pt idx="48">
                  <c:v>91.37</c:v>
                </c:pt>
                <c:pt idx="49">
                  <c:v>91.37</c:v>
                </c:pt>
                <c:pt idx="50">
                  <c:v>91.37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E1-46B2-9C5D-7D996DBC6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453327"/>
        <c:axId val="360314575"/>
      </c:lineChart>
      <c:catAx>
        <c:axId val="1604533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0314575"/>
        <c:crosses val="autoZero"/>
        <c:auto val="1"/>
        <c:lblAlgn val="ctr"/>
        <c:lblOffset val="100"/>
        <c:noMultiLvlLbl val="0"/>
      </c:catAx>
      <c:valAx>
        <c:axId val="36031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453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Факт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Лист1!$B$2:$B$52</c:f>
              <c:numCache>
                <c:formatCode>0.00%</c:formatCode>
                <c:ptCount val="51"/>
                <c:pt idx="0">
                  <c:v>2.9000000000000001E-2</c:v>
                </c:pt>
                <c:pt idx="1">
                  <c:v>2.1000000000000001E-2</c:v>
                </c:pt>
                <c:pt idx="2">
                  <c:v>1.6E-2</c:v>
                </c:pt>
                <c:pt idx="3">
                  <c:v>1.6E-2</c:v>
                </c:pt>
                <c:pt idx="4">
                  <c:v>1.2E-2</c:v>
                </c:pt>
                <c:pt idx="5">
                  <c:v>1.2E-2</c:v>
                </c:pt>
                <c:pt idx="6">
                  <c:v>1.2E-2</c:v>
                </c:pt>
                <c:pt idx="7">
                  <c:v>1.2E-2</c:v>
                </c:pt>
                <c:pt idx="8">
                  <c:v>1.2E-2</c:v>
                </c:pt>
                <c:pt idx="9">
                  <c:v>0.02</c:v>
                </c:pt>
                <c:pt idx="10">
                  <c:v>8.0000000000000002E-3</c:v>
                </c:pt>
                <c:pt idx="11">
                  <c:v>8.0000000000000002E-3</c:v>
                </c:pt>
                <c:pt idx="12">
                  <c:v>8.0000000000000002E-3</c:v>
                </c:pt>
                <c:pt idx="13">
                  <c:v>7.0000000000000001E-3</c:v>
                </c:pt>
                <c:pt idx="14">
                  <c:v>7.0000000000000001E-3</c:v>
                </c:pt>
                <c:pt idx="15">
                  <c:v>4.0000000000000001E-3</c:v>
                </c:pt>
                <c:pt idx="16">
                  <c:v>-3.4000000000000002E-2</c:v>
                </c:pt>
                <c:pt idx="17">
                  <c:v>-4.2000000000000003E-2</c:v>
                </c:pt>
                <c:pt idx="18">
                  <c:v>-4.2000000000000003E-2</c:v>
                </c:pt>
                <c:pt idx="19">
                  <c:v>-4.5999999999999999E-2</c:v>
                </c:pt>
                <c:pt idx="20">
                  <c:v>-3.5999999999999997E-2</c:v>
                </c:pt>
                <c:pt idx="21">
                  <c:v>-0.04</c:v>
                </c:pt>
                <c:pt idx="22">
                  <c:v>-1.7999999999999999E-2</c:v>
                </c:pt>
                <c:pt idx="23">
                  <c:v>-8.0000000000000002E-3</c:v>
                </c:pt>
                <c:pt idx="24">
                  <c:v>2.3E-2</c:v>
                </c:pt>
                <c:pt idx="25">
                  <c:v>2.4E-2</c:v>
                </c:pt>
                <c:pt idx="26">
                  <c:v>0.01</c:v>
                </c:pt>
                <c:pt idx="27">
                  <c:v>-3.0000000000000001E-3</c:v>
                </c:pt>
                <c:pt idx="28">
                  <c:v>0.02</c:v>
                </c:pt>
                <c:pt idx="29">
                  <c:v>1.4999999999999999E-2</c:v>
                </c:pt>
                <c:pt idx="30">
                  <c:v>7.0000000000000001E-3</c:v>
                </c:pt>
                <c:pt idx="31">
                  <c:v>1.7000000000000001E-2</c:v>
                </c:pt>
                <c:pt idx="32">
                  <c:v>2.1000000000000001E-2</c:v>
                </c:pt>
                <c:pt idx="33">
                  <c:v>1.0999999999999999E-2</c:v>
                </c:pt>
                <c:pt idx="34">
                  <c:v>1.7999999999999999E-2</c:v>
                </c:pt>
                <c:pt idx="35">
                  <c:v>0.01</c:v>
                </c:pt>
                <c:pt idx="36">
                  <c:v>1.0999999999999999E-2</c:v>
                </c:pt>
                <c:pt idx="37">
                  <c:v>2.5000000000000001E-2</c:v>
                </c:pt>
                <c:pt idx="38">
                  <c:v>1.7999999999999999E-2</c:v>
                </c:pt>
                <c:pt idx="39">
                  <c:v>1.9E-2</c:v>
                </c:pt>
                <c:pt idx="40">
                  <c:v>7.0000000000000001E-3</c:v>
                </c:pt>
                <c:pt idx="41">
                  <c:v>1.4999999999999999E-2</c:v>
                </c:pt>
                <c:pt idx="42">
                  <c:v>6.0000000000000001E-3</c:v>
                </c:pt>
                <c:pt idx="43">
                  <c:v>1.6E-2</c:v>
                </c:pt>
                <c:pt idx="44">
                  <c:v>2E-3</c:v>
                </c:pt>
                <c:pt idx="45">
                  <c:v>7.0000000000000001E-3</c:v>
                </c:pt>
                <c:pt idx="46">
                  <c:v>1.7000000000000001E-2</c:v>
                </c:pt>
                <c:pt idx="47">
                  <c:v>1.6E-2</c:v>
                </c:pt>
                <c:pt idx="48">
                  <c:v>0.02</c:v>
                </c:pt>
                <c:pt idx="49">
                  <c:v>2.1999999999999999E-2</c:v>
                </c:pt>
                <c:pt idx="50">
                  <c:v>1.6E-2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3E-4473-8C9B-543454894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1027887"/>
        <c:axId val="253262623"/>
      </c:lineChart>
      <c:catAx>
        <c:axId val="19710278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3262623"/>
        <c:crosses val="autoZero"/>
        <c:auto val="1"/>
        <c:lblAlgn val="ctr"/>
        <c:lblOffset val="100"/>
        <c:noMultiLvlLbl val="0"/>
      </c:catAx>
      <c:valAx>
        <c:axId val="25326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71027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390525</xdr:colOff>
      <xdr:row>11</xdr:row>
      <xdr:rowOff>185737</xdr:rowOff>
    </xdr:from>
    <xdr:to>
      <xdr:col>17</xdr:col>
      <xdr:colOff>85725</xdr:colOff>
      <xdr:row>26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7206ED7-4ED2-4C69-9C9F-2E384A77CC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608772</xdr:colOff>
      <xdr:row>5</xdr:row>
      <xdr:rowOff>53009</xdr:rowOff>
    </xdr:from>
    <xdr:to>
      <xdr:col>11</xdr:col>
      <xdr:colOff>277467</xdr:colOff>
      <xdr:row>19</xdr:row>
      <xdr:rowOff>13252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2DC0D2C-6008-47B0-A416-A90A663F3B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62119</xdr:colOff>
      <xdr:row>12</xdr:row>
      <xdr:rowOff>135835</xdr:rowOff>
    </xdr:from>
    <xdr:to>
      <xdr:col>11</xdr:col>
      <xdr:colOff>343727</xdr:colOff>
      <xdr:row>26</xdr:row>
      <xdr:rowOff>96078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F64547C6-6D5F-40D3-B319-3269A23773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586CC-5221-4B31-83B3-C6711F4A41D1}">
  <dimension ref="A1:D24"/>
  <sheetViews>
    <sheetView workbookViewId="0">
      <selection activeCell="R13" sqref="R13"/>
    </sheetView>
  </sheetViews>
  <sheetFormatPr defaultRowHeight="15"/>
  <cols>
    <col min="3" max="3" width="16.7109375" customWidth="1"/>
    <col min="4" max="4" width="12.85546875" customWidth="1"/>
  </cols>
  <sheetData>
    <row r="1" spans="1:4">
      <c r="A1" t="s">
        <v>5</v>
      </c>
      <c r="B1" t="s">
        <v>6</v>
      </c>
      <c r="C1" t="s">
        <v>7</v>
      </c>
      <c r="D1" t="s">
        <v>8</v>
      </c>
    </row>
    <row r="2" spans="1:4">
      <c r="A2">
        <v>1998</v>
      </c>
      <c r="B2" s="10">
        <v>290.23</v>
      </c>
      <c r="C2" s="10">
        <v>2629.6</v>
      </c>
      <c r="D2" s="10">
        <v>827200</v>
      </c>
    </row>
    <row r="3" spans="1:4">
      <c r="A3">
        <v>1999</v>
      </c>
      <c r="B3" s="10">
        <v>209.77</v>
      </c>
      <c r="C3" s="10">
        <v>4823.2</v>
      </c>
      <c r="D3" s="10">
        <v>846200</v>
      </c>
    </row>
    <row r="4" spans="1:4">
      <c r="A4">
        <v>2000</v>
      </c>
      <c r="B4" s="10">
        <v>278.07</v>
      </c>
      <c r="C4" s="10">
        <v>7305.6</v>
      </c>
      <c r="D4" s="10">
        <v>877800</v>
      </c>
    </row>
    <row r="5" spans="1:4">
      <c r="A5">
        <v>2001</v>
      </c>
      <c r="B5" s="10">
        <v>328.27</v>
      </c>
      <c r="C5" s="10">
        <v>8943.6</v>
      </c>
      <c r="D5" s="10">
        <v>891300</v>
      </c>
    </row>
    <row r="6" spans="1:4">
      <c r="A6">
        <v>2002</v>
      </c>
      <c r="B6" s="10">
        <v>369.9</v>
      </c>
      <c r="C6" s="10">
        <v>10830.5</v>
      </c>
      <c r="D6" s="10">
        <v>891000</v>
      </c>
    </row>
    <row r="7" spans="1:4">
      <c r="A7">
        <v>2003</v>
      </c>
      <c r="B7" s="10">
        <v>460.74</v>
      </c>
      <c r="C7" s="10">
        <v>13080.2</v>
      </c>
      <c r="D7" s="10">
        <v>916000</v>
      </c>
    </row>
    <row r="8" spans="1:4">
      <c r="A8">
        <v>2004</v>
      </c>
      <c r="B8" s="10">
        <v>632.76</v>
      </c>
      <c r="C8" s="10">
        <v>17027.2</v>
      </c>
      <c r="D8" s="10">
        <v>932000</v>
      </c>
    </row>
    <row r="9" spans="1:4">
      <c r="A9">
        <v>2005</v>
      </c>
      <c r="B9" s="10">
        <v>817.75</v>
      </c>
      <c r="C9" s="10">
        <v>21609.8</v>
      </c>
      <c r="D9" s="10">
        <v>953100</v>
      </c>
    </row>
    <row r="10" spans="1:4">
      <c r="A10">
        <v>2006</v>
      </c>
      <c r="B10" s="10">
        <v>1059.99</v>
      </c>
      <c r="C10" s="10">
        <v>26917.200000000001</v>
      </c>
      <c r="D10" s="10">
        <v>995800</v>
      </c>
    </row>
    <row r="11" spans="1:4">
      <c r="A11">
        <v>2007</v>
      </c>
      <c r="B11" s="10">
        <v>1391.68</v>
      </c>
      <c r="C11" s="10">
        <v>33247.5</v>
      </c>
      <c r="D11" s="10">
        <v>1015300</v>
      </c>
    </row>
    <row r="12" spans="1:4">
      <c r="A12">
        <v>2008</v>
      </c>
      <c r="B12" s="10">
        <v>1778.39</v>
      </c>
      <c r="C12" s="10">
        <v>41276.800000000003</v>
      </c>
      <c r="D12" s="10">
        <v>1040400</v>
      </c>
    </row>
    <row r="13" spans="1:4">
      <c r="A13">
        <v>2009</v>
      </c>
      <c r="B13" s="10">
        <v>1309.17</v>
      </c>
      <c r="C13" s="10">
        <v>38807.199999999997</v>
      </c>
      <c r="D13" s="10">
        <v>992000</v>
      </c>
    </row>
    <row r="14" spans="1:4">
      <c r="A14">
        <v>2010</v>
      </c>
      <c r="B14" s="10">
        <v>1632.84</v>
      </c>
      <c r="C14" s="10">
        <v>46308.5</v>
      </c>
      <c r="D14" s="10">
        <v>1038000</v>
      </c>
    </row>
    <row r="15" spans="1:4">
      <c r="A15">
        <v>2011</v>
      </c>
      <c r="B15" s="10">
        <v>2044.61</v>
      </c>
      <c r="C15" s="10">
        <v>60282.5</v>
      </c>
      <c r="D15" s="10">
        <v>1054800</v>
      </c>
    </row>
    <row r="16" spans="1:4">
      <c r="A16">
        <v>2012</v>
      </c>
      <c r="B16" s="10">
        <v>2202.67</v>
      </c>
      <c r="C16" s="10">
        <v>68163.899999999994</v>
      </c>
      <c r="D16" s="10">
        <v>1069300</v>
      </c>
    </row>
    <row r="17" spans="1:4">
      <c r="A17">
        <v>2013</v>
      </c>
      <c r="B17" s="10">
        <v>2289.2399999999998</v>
      </c>
      <c r="C17" s="10">
        <v>73133.899999999994</v>
      </c>
      <c r="D17" s="10">
        <v>1045015</v>
      </c>
    </row>
    <row r="18" spans="1:4">
      <c r="A18">
        <v>2014</v>
      </c>
      <c r="B18" s="10">
        <v>2056.58</v>
      </c>
      <c r="C18" s="10">
        <v>79199.7</v>
      </c>
      <c r="D18" s="10">
        <v>1047447</v>
      </c>
    </row>
    <row r="19" spans="1:4">
      <c r="A19">
        <v>2015</v>
      </c>
      <c r="B19" s="10">
        <v>1363.7</v>
      </c>
      <c r="C19" s="10">
        <v>83387.199999999997</v>
      </c>
      <c r="D19" s="10">
        <v>1049904</v>
      </c>
    </row>
    <row r="20" spans="1:4">
      <c r="A20">
        <v>2016</v>
      </c>
      <c r="B20" s="10">
        <v>1282.6600000000001</v>
      </c>
      <c r="C20" s="10">
        <v>86010.2</v>
      </c>
      <c r="D20" s="10">
        <v>1071841</v>
      </c>
    </row>
    <row r="21" spans="1:4">
      <c r="A21">
        <v>2017</v>
      </c>
      <c r="B21" s="10">
        <v>1578.41</v>
      </c>
      <c r="C21" s="10">
        <v>92089.3</v>
      </c>
      <c r="D21" s="10">
        <v>1073724</v>
      </c>
    </row>
    <row r="22" spans="1:4">
      <c r="A22">
        <v>2018</v>
      </c>
      <c r="B22" s="10">
        <v>1630.66</v>
      </c>
      <c r="C22" s="10">
        <v>103626.6</v>
      </c>
      <c r="D22" s="10">
        <v>1091079</v>
      </c>
    </row>
    <row r="23" spans="1:4">
      <c r="A23">
        <v>2019</v>
      </c>
      <c r="B23" s="10">
        <f>C23/64.73</f>
        <v>1689.4948246562644</v>
      </c>
      <c r="C23" s="10">
        <v>109361</v>
      </c>
      <c r="D23" s="10">
        <v>1096200</v>
      </c>
    </row>
    <row r="24" spans="1:4">
      <c r="A24">
        <v>2020</v>
      </c>
      <c r="B24" s="10">
        <f>C24/64.73</f>
        <v>1621.9150316700138</v>
      </c>
      <c r="C24" s="10">
        <f>C23*0.96</f>
        <v>104986.56</v>
      </c>
      <c r="D24" s="10">
        <v>772100</v>
      </c>
    </row>
  </sheetData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zoomScale="115" zoomScaleNormal="115" workbookViewId="0">
      <selection activeCell="E3" sqref="E3"/>
    </sheetView>
  </sheetViews>
  <sheetFormatPr defaultRowHeight="15"/>
  <cols>
    <col min="1" max="1" width="13.5703125" style="5" customWidth="1"/>
  </cols>
  <sheetData>
    <row r="1" spans="1:5" ht="15.75" thickBot="1">
      <c r="B1" t="s">
        <v>0</v>
      </c>
      <c r="C1" t="s">
        <v>1</v>
      </c>
    </row>
    <row r="2" spans="1:5" ht="15.75" thickBot="1">
      <c r="A2" s="6">
        <v>41276</v>
      </c>
      <c r="B2" s="1">
        <v>2.9000000000000001E-2</v>
      </c>
      <c r="C2" s="9">
        <v>103.26</v>
      </c>
      <c r="E2">
        <f>CORREL(B2:B52,C2:C52)</f>
        <v>0.1966938263139214</v>
      </c>
    </row>
    <row r="3" spans="1:5" ht="15.75" thickBot="1">
      <c r="A3" s="6">
        <v>41366</v>
      </c>
      <c r="B3" s="1">
        <v>2.1000000000000001E-2</v>
      </c>
      <c r="C3" s="9">
        <v>85.13</v>
      </c>
    </row>
    <row r="4" spans="1:5" ht="15.75" thickBot="1">
      <c r="A4" s="6">
        <v>41411</v>
      </c>
      <c r="B4" s="2">
        <v>1.6E-2</v>
      </c>
      <c r="C4" s="9">
        <v>79.08</v>
      </c>
    </row>
    <row r="5" spans="1:5" ht="15.75" thickBot="1">
      <c r="A5" s="6">
        <v>41442</v>
      </c>
      <c r="B5" s="1">
        <v>1.6E-2</v>
      </c>
      <c r="C5" s="9">
        <v>74.48</v>
      </c>
    </row>
    <row r="6" spans="1:5" ht="15.75" thickBot="1">
      <c r="A6" s="6">
        <v>41495</v>
      </c>
      <c r="B6" s="3">
        <v>1.2E-2</v>
      </c>
      <c r="C6" s="9">
        <v>76.87</v>
      </c>
    </row>
    <row r="7" spans="1:5" ht="15.75" thickBot="1">
      <c r="A7" s="6">
        <v>41523</v>
      </c>
      <c r="B7" s="1">
        <v>1.2E-2</v>
      </c>
      <c r="C7" s="9">
        <v>79.53</v>
      </c>
    </row>
    <row r="8" spans="1:5" ht="15.75" thickBot="1">
      <c r="A8" s="6">
        <v>41548</v>
      </c>
      <c r="B8" s="1">
        <v>1.2E-2</v>
      </c>
      <c r="C8" s="9">
        <v>90.41</v>
      </c>
    </row>
    <row r="9" spans="1:5" ht="15.75" thickBot="1">
      <c r="A9" s="7">
        <v>41590</v>
      </c>
      <c r="B9" s="4">
        <v>1.2E-2</v>
      </c>
      <c r="C9" s="9">
        <v>90.5</v>
      </c>
    </row>
    <row r="10" spans="1:5" ht="15.75" thickBot="1">
      <c r="A10" s="6">
        <v>41618</v>
      </c>
      <c r="B10" s="1">
        <v>1.2E-2</v>
      </c>
      <c r="C10" s="9">
        <v>100.31</v>
      </c>
    </row>
    <row r="11" spans="1:5" ht="15.75" thickBot="1">
      <c r="A11" s="6">
        <v>41730</v>
      </c>
      <c r="B11" s="2">
        <v>0.02</v>
      </c>
      <c r="C11" s="9">
        <v>83.62</v>
      </c>
    </row>
    <row r="12" spans="1:5" ht="15.75" thickBot="1">
      <c r="A12" s="6">
        <v>41862</v>
      </c>
      <c r="B12" s="2">
        <v>8.0000000000000002E-3</v>
      </c>
      <c r="C12" s="9">
        <v>77.959999999999994</v>
      </c>
    </row>
    <row r="13" spans="1:5" ht="15.75" thickBot="1">
      <c r="A13" s="6">
        <v>41890</v>
      </c>
      <c r="B13" s="1">
        <v>8.0000000000000002E-3</v>
      </c>
      <c r="C13" s="9">
        <v>79.23</v>
      </c>
    </row>
    <row r="14" spans="1:5" ht="15.75" thickBot="1">
      <c r="A14" s="6">
        <v>41913</v>
      </c>
      <c r="B14" s="1">
        <v>8.0000000000000002E-3</v>
      </c>
      <c r="C14" s="9">
        <v>92.01</v>
      </c>
    </row>
    <row r="15" spans="1:5" ht="15.75" thickBot="1">
      <c r="A15" s="6">
        <v>41956</v>
      </c>
      <c r="B15" s="2">
        <v>7.0000000000000001E-3</v>
      </c>
      <c r="C15" s="9">
        <v>95.11</v>
      </c>
    </row>
    <row r="16" spans="1:5" ht="15.75" thickBot="1">
      <c r="A16" s="6">
        <v>41984</v>
      </c>
      <c r="B16" s="1">
        <v>7.0000000000000001E-3</v>
      </c>
      <c r="C16" s="9">
        <v>103.34</v>
      </c>
    </row>
    <row r="17" spans="1:3" ht="15.75" thickBot="1">
      <c r="A17" s="6">
        <v>42095</v>
      </c>
      <c r="B17" s="3">
        <v>4.0000000000000001E-3</v>
      </c>
      <c r="C17" s="9">
        <v>94.7</v>
      </c>
    </row>
    <row r="18" spans="1:3" ht="15.75" thickBot="1">
      <c r="A18" s="6">
        <v>42123</v>
      </c>
      <c r="B18" s="3">
        <v>-3.4000000000000002E-2</v>
      </c>
      <c r="C18" s="9">
        <v>85.8</v>
      </c>
    </row>
    <row r="19" spans="1:3" ht="15.75" thickBot="1">
      <c r="A19" s="6">
        <v>42156</v>
      </c>
      <c r="B19" s="3">
        <v>-4.2000000000000003E-2</v>
      </c>
      <c r="C19" s="9">
        <v>74.7</v>
      </c>
    </row>
    <row r="20" spans="1:3" ht="15.75" thickBot="1">
      <c r="A20" s="6">
        <v>42213</v>
      </c>
      <c r="B20" s="1">
        <v>-4.2000000000000003E-2</v>
      </c>
      <c r="C20" s="9">
        <v>77.400000000000006</v>
      </c>
    </row>
    <row r="21" spans="1:3" ht="15.75" thickBot="1">
      <c r="A21" s="6">
        <v>42276</v>
      </c>
      <c r="B21" s="1">
        <v>-4.5999999999999999E-2</v>
      </c>
      <c r="C21" s="9">
        <v>79.3</v>
      </c>
    </row>
    <row r="22" spans="1:3" ht="15.75" thickBot="1">
      <c r="A22" s="6">
        <v>42331</v>
      </c>
      <c r="B22" s="2">
        <v>-3.5999999999999997E-2</v>
      </c>
      <c r="C22" s="9">
        <v>95.1</v>
      </c>
    </row>
    <row r="23" spans="1:3" ht="15.75" thickBot="1">
      <c r="A23" s="6">
        <v>42366</v>
      </c>
      <c r="B23" s="3">
        <v>-0.04</v>
      </c>
      <c r="C23" s="9">
        <v>100.3</v>
      </c>
    </row>
    <row r="24" spans="1:3" ht="15.75" thickBot="1">
      <c r="A24" s="6">
        <v>42489</v>
      </c>
      <c r="B24" s="2">
        <v>-1.7999999999999999E-2</v>
      </c>
      <c r="C24" s="9">
        <v>83.9</v>
      </c>
    </row>
    <row r="25" spans="1:3" ht="15.75" thickBot="1">
      <c r="A25" s="6">
        <v>42544</v>
      </c>
      <c r="B25" s="2">
        <v>-8.0000000000000002E-3</v>
      </c>
      <c r="C25" s="9">
        <v>76.5</v>
      </c>
    </row>
    <row r="26" spans="1:3" ht="15.75" thickBot="1">
      <c r="A26" s="6">
        <v>43004</v>
      </c>
      <c r="B26" s="1">
        <v>2.3E-2</v>
      </c>
      <c r="C26" s="9">
        <v>82.13</v>
      </c>
    </row>
    <row r="27" spans="1:3" ht="15.75" thickBot="1">
      <c r="A27" s="6">
        <v>43038</v>
      </c>
      <c r="B27" s="1">
        <v>2.4E-2</v>
      </c>
      <c r="C27" s="9">
        <v>92.78</v>
      </c>
    </row>
    <row r="28" spans="1:3" ht="15.75" thickBot="1">
      <c r="A28" s="6">
        <v>43073</v>
      </c>
      <c r="B28" s="1">
        <v>0.01</v>
      </c>
      <c r="C28" s="9">
        <v>102.79</v>
      </c>
    </row>
    <row r="29" spans="1:3" ht="15.75" thickBot="1">
      <c r="A29" s="6">
        <v>43115</v>
      </c>
      <c r="B29" s="3">
        <v>-3.0000000000000001E-3</v>
      </c>
      <c r="C29" s="9">
        <v>103.53</v>
      </c>
    </row>
    <row r="30" spans="1:3" ht="15.75" thickBot="1">
      <c r="A30" s="6">
        <v>43173</v>
      </c>
      <c r="B30" s="2">
        <v>0.02</v>
      </c>
      <c r="C30" s="9">
        <v>94.62</v>
      </c>
    </row>
    <row r="31" spans="1:3" ht="15.75" thickBot="1">
      <c r="A31" s="6">
        <v>43181</v>
      </c>
      <c r="B31" s="1">
        <v>1.4999999999999999E-2</v>
      </c>
      <c r="C31" s="9">
        <v>100.5</v>
      </c>
    </row>
    <row r="32" spans="1:3" ht="15.75" thickBot="1">
      <c r="A32" s="6">
        <v>43222</v>
      </c>
      <c r="B32" s="3">
        <v>7.0000000000000001E-3</v>
      </c>
      <c r="C32" s="9">
        <v>87</v>
      </c>
    </row>
    <row r="33" spans="1:4" ht="15.75" thickBot="1">
      <c r="A33" s="6">
        <v>43243</v>
      </c>
      <c r="B33" s="2">
        <v>1.7000000000000001E-2</v>
      </c>
      <c r="C33" s="9">
        <v>82.18</v>
      </c>
    </row>
    <row r="34" spans="1:4" ht="15.75" thickBot="1">
      <c r="A34" s="6">
        <v>43271</v>
      </c>
      <c r="B34" s="2">
        <v>2.1000000000000001E-2</v>
      </c>
      <c r="C34" s="9">
        <v>78.989999999999995</v>
      </c>
    </row>
    <row r="35" spans="1:4" ht="15.75" thickBot="1">
      <c r="A35" s="6">
        <v>43300</v>
      </c>
      <c r="B35" s="3">
        <v>1.0999999999999999E-2</v>
      </c>
      <c r="C35" s="9">
        <v>81.78</v>
      </c>
    </row>
    <row r="36" spans="1:4" ht="15.75" thickBot="1">
      <c r="A36" s="6">
        <v>43329</v>
      </c>
      <c r="B36" s="3">
        <v>1.7999999999999999E-2</v>
      </c>
      <c r="C36" s="9">
        <v>82.87</v>
      </c>
    </row>
    <row r="37" spans="1:4" ht="15.75" thickBot="1">
      <c r="A37" s="6">
        <v>43363</v>
      </c>
      <c r="B37" s="3">
        <v>0.01</v>
      </c>
      <c r="C37" s="9">
        <v>82.3</v>
      </c>
    </row>
    <row r="38" spans="1:4" ht="15.75" thickBot="1">
      <c r="A38" s="6">
        <v>43390</v>
      </c>
      <c r="B38" s="3">
        <v>1.0999999999999999E-2</v>
      </c>
      <c r="C38" s="9">
        <v>91.85</v>
      </c>
    </row>
    <row r="39" spans="1:4" ht="15.75" thickBot="1">
      <c r="A39" s="6">
        <v>43424</v>
      </c>
      <c r="B39" s="2">
        <v>2.5000000000000001E-2</v>
      </c>
      <c r="C39" s="9">
        <v>98.02</v>
      </c>
    </row>
    <row r="40" spans="1:4" ht="15.75" thickBot="1">
      <c r="A40" s="6">
        <v>43453</v>
      </c>
      <c r="B40" s="3">
        <v>1.7999999999999999E-2</v>
      </c>
      <c r="C40" s="9">
        <v>108.06</v>
      </c>
    </row>
    <row r="41" spans="1:4" ht="15.75" thickBot="1">
      <c r="A41" s="6">
        <v>43490</v>
      </c>
      <c r="B41" s="1">
        <v>1.9E-2</v>
      </c>
      <c r="C41" s="9">
        <v>91.37</v>
      </c>
    </row>
    <row r="42" spans="1:4" ht="15.75" thickBot="1">
      <c r="A42" s="6">
        <v>43516</v>
      </c>
      <c r="B42" s="3">
        <v>7.0000000000000001E-3</v>
      </c>
      <c r="C42" s="9">
        <v>91.37</v>
      </c>
    </row>
    <row r="43" spans="1:4" ht="15.75" thickBot="1">
      <c r="A43" s="6">
        <v>43545</v>
      </c>
      <c r="B43" s="1">
        <v>1.4999999999999999E-2</v>
      </c>
      <c r="C43" s="9">
        <v>91.37</v>
      </c>
    </row>
    <row r="44" spans="1:4" ht="15.75" thickBot="1">
      <c r="A44" s="6">
        <v>43573</v>
      </c>
      <c r="B44" s="1">
        <v>6.0000000000000001E-3</v>
      </c>
      <c r="C44" s="9">
        <v>91.37</v>
      </c>
    </row>
    <row r="45" spans="1:4" ht="15.75" thickBot="1">
      <c r="A45" s="6">
        <v>43609</v>
      </c>
      <c r="B45" s="2">
        <v>1.6E-2</v>
      </c>
      <c r="C45" s="9">
        <v>91.37</v>
      </c>
    </row>
    <row r="46" spans="1:4" ht="15.75" thickBot="1">
      <c r="A46" s="6">
        <v>43637</v>
      </c>
      <c r="B46" s="1">
        <v>2E-3</v>
      </c>
      <c r="C46" s="9">
        <v>91.37</v>
      </c>
      <c r="D46" s="8"/>
    </row>
    <row r="47" spans="1:4" ht="15.75" thickBot="1">
      <c r="A47" s="6">
        <v>43664</v>
      </c>
      <c r="B47" s="1">
        <v>7.0000000000000001E-3</v>
      </c>
      <c r="C47" s="9">
        <v>91.37</v>
      </c>
    </row>
    <row r="48" spans="1:4" ht="15.75" thickBot="1">
      <c r="A48" s="6">
        <v>43696</v>
      </c>
      <c r="B48" s="1">
        <v>1.7000000000000001E-2</v>
      </c>
      <c r="C48" s="9">
        <v>91.37</v>
      </c>
    </row>
    <row r="49" spans="1:3" ht="15.75" thickBot="1">
      <c r="A49" s="6">
        <v>43727</v>
      </c>
      <c r="B49" s="1">
        <v>1.6E-2</v>
      </c>
      <c r="C49" s="9">
        <v>91.37</v>
      </c>
    </row>
    <row r="50" spans="1:3" ht="15.75" thickBot="1">
      <c r="A50" s="6">
        <v>43755</v>
      </c>
      <c r="B50" s="2">
        <v>0.02</v>
      </c>
      <c r="C50" s="9">
        <v>91.37</v>
      </c>
    </row>
    <row r="51" spans="1:3" ht="15.75" thickBot="1">
      <c r="A51" s="6">
        <v>43789</v>
      </c>
      <c r="B51" s="1">
        <v>2.1999999999999999E-2</v>
      </c>
      <c r="C51" s="9">
        <v>91.37</v>
      </c>
    </row>
    <row r="52" spans="1:3">
      <c r="A52" s="6">
        <v>43817</v>
      </c>
      <c r="B52" s="1">
        <v>1.6E-2</v>
      </c>
      <c r="C52" s="9">
        <v>91.37</v>
      </c>
    </row>
  </sheetData>
  <sortState xmlns:xlrd2="http://schemas.microsoft.com/office/spreadsheetml/2017/richdata2" ref="A2:B52">
    <sortCondition ref="A1:A52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172DB-3950-4C8F-B2BF-BE187CF930E0}">
  <dimension ref="A1:E5"/>
  <sheetViews>
    <sheetView workbookViewId="0">
      <selection activeCell="D7" sqref="D7"/>
    </sheetView>
  </sheetViews>
  <sheetFormatPr defaultRowHeight="15"/>
  <cols>
    <col min="3" max="3" width="13.85546875" customWidth="1"/>
    <col min="4" max="4" width="16.7109375" customWidth="1"/>
    <col min="5" max="5" width="24" customWidth="1"/>
  </cols>
  <sheetData>
    <row r="1" spans="1:5">
      <c r="A1" s="13"/>
      <c r="B1" s="13" t="s">
        <v>4</v>
      </c>
      <c r="C1" s="13" t="s">
        <v>1</v>
      </c>
      <c r="D1" s="13" t="s">
        <v>2</v>
      </c>
      <c r="E1" s="13" t="s">
        <v>3</v>
      </c>
    </row>
    <row r="2" spans="1:5">
      <c r="A2" s="11" t="s">
        <v>4</v>
      </c>
      <c r="B2" s="11">
        <v>1</v>
      </c>
      <c r="C2" s="11"/>
      <c r="D2" s="11"/>
      <c r="E2" s="11"/>
    </row>
    <row r="3" spans="1:5">
      <c r="A3" s="11" t="s">
        <v>1</v>
      </c>
      <c r="B3" s="11">
        <v>0.80107537357607317</v>
      </c>
      <c r="C3" s="11">
        <v>1</v>
      </c>
      <c r="D3" s="11"/>
      <c r="E3" s="11"/>
    </row>
    <row r="4" spans="1:5">
      <c r="A4" s="11" t="s">
        <v>2</v>
      </c>
      <c r="B4" s="11">
        <v>0.98729620647768979</v>
      </c>
      <c r="C4" s="11">
        <v>0.77878554115769216</v>
      </c>
      <c r="D4" s="11">
        <v>1</v>
      </c>
      <c r="E4" s="11"/>
    </row>
    <row r="5" spans="1:5" ht="15.75" thickBot="1">
      <c r="A5" s="12" t="s">
        <v>3</v>
      </c>
      <c r="B5" s="12">
        <v>0.60845665898003443</v>
      </c>
      <c r="C5" s="12">
        <v>0.72269680075570941</v>
      </c>
      <c r="D5" s="12">
        <v>0.58973146196796311</v>
      </c>
      <c r="E5" s="1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88ED5-2B0E-44A9-B53F-DFC432FF0B73}">
  <dimension ref="A1:D23"/>
  <sheetViews>
    <sheetView tabSelected="1" workbookViewId="0">
      <selection activeCell="A24" sqref="A24:XFD24"/>
    </sheetView>
  </sheetViews>
  <sheetFormatPr defaultRowHeight="15"/>
  <cols>
    <col min="3" max="3" width="16.7109375" customWidth="1"/>
    <col min="4" max="4" width="12.85546875" customWidth="1"/>
  </cols>
  <sheetData>
    <row r="1" spans="1:4">
      <c r="A1" t="s">
        <v>5</v>
      </c>
      <c r="B1" t="s">
        <v>6</v>
      </c>
      <c r="C1" t="s">
        <v>7</v>
      </c>
      <c r="D1" t="s">
        <v>8</v>
      </c>
    </row>
    <row r="2" spans="1:4">
      <c r="A2">
        <v>1998</v>
      </c>
      <c r="B2" s="10">
        <v>290.23</v>
      </c>
      <c r="C2" s="10">
        <v>2629.6</v>
      </c>
      <c r="D2" s="10">
        <v>827200</v>
      </c>
    </row>
    <row r="3" spans="1:4">
      <c r="A3">
        <v>1999</v>
      </c>
      <c r="B3" s="10">
        <v>209.77</v>
      </c>
      <c r="C3" s="10">
        <v>4823.2</v>
      </c>
      <c r="D3" s="10">
        <v>846200</v>
      </c>
    </row>
    <row r="4" spans="1:4">
      <c r="A4">
        <v>2000</v>
      </c>
      <c r="B4" s="10">
        <v>278.07</v>
      </c>
      <c r="C4" s="10">
        <v>7305.6</v>
      </c>
      <c r="D4" s="10">
        <v>877800</v>
      </c>
    </row>
    <row r="5" spans="1:4">
      <c r="A5">
        <v>2001</v>
      </c>
      <c r="B5" s="10">
        <v>328.27</v>
      </c>
      <c r="C5" s="10">
        <v>8943.6</v>
      </c>
      <c r="D5" s="10">
        <v>891300</v>
      </c>
    </row>
    <row r="6" spans="1:4">
      <c r="A6">
        <v>2002</v>
      </c>
      <c r="B6" s="10">
        <v>369.9</v>
      </c>
      <c r="C6" s="10">
        <v>10830.5</v>
      </c>
      <c r="D6" s="10">
        <v>891000</v>
      </c>
    </row>
    <row r="7" spans="1:4">
      <c r="A7">
        <v>2003</v>
      </c>
      <c r="B7" s="10">
        <v>460.74</v>
      </c>
      <c r="C7" s="10">
        <v>13080.2</v>
      </c>
      <c r="D7" s="10">
        <v>916000</v>
      </c>
    </row>
    <row r="8" spans="1:4">
      <c r="A8">
        <v>2004</v>
      </c>
      <c r="B8" s="10">
        <v>632.76</v>
      </c>
      <c r="C8" s="10">
        <v>17027.2</v>
      </c>
      <c r="D8" s="10">
        <v>932000</v>
      </c>
    </row>
    <row r="9" spans="1:4">
      <c r="A9">
        <v>2005</v>
      </c>
      <c r="B9" s="10">
        <v>817.75</v>
      </c>
      <c r="C9" s="10">
        <v>21609.8</v>
      </c>
      <c r="D9" s="10">
        <v>953100</v>
      </c>
    </row>
    <row r="10" spans="1:4">
      <c r="A10">
        <v>2006</v>
      </c>
      <c r="B10" s="10">
        <v>1059.99</v>
      </c>
      <c r="C10" s="10">
        <v>26917.200000000001</v>
      </c>
      <c r="D10" s="10">
        <v>995800</v>
      </c>
    </row>
    <row r="11" spans="1:4">
      <c r="A11">
        <v>2007</v>
      </c>
      <c r="B11" s="10">
        <v>1391.68</v>
      </c>
      <c r="C11" s="10">
        <v>33247.5</v>
      </c>
      <c r="D11" s="10">
        <v>1015300</v>
      </c>
    </row>
    <row r="12" spans="1:4">
      <c r="A12">
        <v>2008</v>
      </c>
      <c r="B12" s="10">
        <v>1778.39</v>
      </c>
      <c r="C12" s="10">
        <v>41276.800000000003</v>
      </c>
      <c r="D12" s="10">
        <v>1040400</v>
      </c>
    </row>
    <row r="13" spans="1:4">
      <c r="A13">
        <v>2009</v>
      </c>
      <c r="B13" s="10">
        <v>1309.17</v>
      </c>
      <c r="C13" s="10">
        <v>38807.199999999997</v>
      </c>
      <c r="D13" s="10">
        <v>992000</v>
      </c>
    </row>
    <row r="14" spans="1:4">
      <c r="A14">
        <v>2010</v>
      </c>
      <c r="B14" s="10">
        <v>1632.84</v>
      </c>
      <c r="C14" s="10">
        <v>46308.5</v>
      </c>
      <c r="D14" s="10">
        <v>1038000</v>
      </c>
    </row>
    <row r="15" spans="1:4">
      <c r="A15">
        <v>2011</v>
      </c>
      <c r="B15" s="10">
        <v>2044.61</v>
      </c>
      <c r="C15" s="10">
        <v>60282.5</v>
      </c>
      <c r="D15" s="10">
        <v>1054800</v>
      </c>
    </row>
    <row r="16" spans="1:4">
      <c r="A16">
        <v>2012</v>
      </c>
      <c r="B16" s="10">
        <v>2202.67</v>
      </c>
      <c r="C16" s="10">
        <v>68163.899999999994</v>
      </c>
      <c r="D16" s="10">
        <v>1069300</v>
      </c>
    </row>
    <row r="17" spans="1:4">
      <c r="A17">
        <v>2013</v>
      </c>
      <c r="B17" s="10">
        <v>2289.2399999999998</v>
      </c>
      <c r="C17" s="10">
        <v>73133.899999999994</v>
      </c>
      <c r="D17" s="10">
        <v>1045015</v>
      </c>
    </row>
    <row r="18" spans="1:4">
      <c r="A18">
        <v>2014</v>
      </c>
      <c r="B18" s="10">
        <v>2056.58</v>
      </c>
      <c r="C18" s="10">
        <v>79199.7</v>
      </c>
      <c r="D18" s="10">
        <v>1047447</v>
      </c>
    </row>
    <row r="19" spans="1:4">
      <c r="A19">
        <v>2015</v>
      </c>
      <c r="B19" s="10">
        <v>1363.7</v>
      </c>
      <c r="C19" s="10">
        <v>83387.199999999997</v>
      </c>
      <c r="D19" s="10">
        <v>1049904</v>
      </c>
    </row>
    <row r="20" spans="1:4">
      <c r="A20">
        <v>2016</v>
      </c>
      <c r="B20" s="10">
        <v>1282.6600000000001</v>
      </c>
      <c r="C20" s="10">
        <v>86010.2</v>
      </c>
      <c r="D20" s="10">
        <v>1071841</v>
      </c>
    </row>
    <row r="21" spans="1:4">
      <c r="A21">
        <v>2017</v>
      </c>
      <c r="B21" s="10">
        <v>1578.41</v>
      </c>
      <c r="C21" s="10">
        <v>92089.3</v>
      </c>
      <c r="D21" s="10">
        <v>1073724</v>
      </c>
    </row>
    <row r="22" spans="1:4">
      <c r="A22">
        <v>2018</v>
      </c>
      <c r="B22" s="10">
        <v>1630.66</v>
      </c>
      <c r="C22" s="10">
        <v>103626.6</v>
      </c>
      <c r="D22" s="10">
        <v>1091079</v>
      </c>
    </row>
    <row r="23" spans="1:4">
      <c r="A23">
        <v>2019</v>
      </c>
      <c r="B23" s="10">
        <f>C23/64.73</f>
        <v>1689.4948246562644</v>
      </c>
      <c r="C23" s="10">
        <v>109361</v>
      </c>
      <c r="D23" s="10">
        <v>1096200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GDPEnergy (2)</vt:lpstr>
      <vt:lpstr>Лист1</vt:lpstr>
      <vt:lpstr>Коррел</vt:lpstr>
      <vt:lpstr>GDPEnergy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Jagello</dc:creator>
  <cp:lastModifiedBy>Andy</cp:lastModifiedBy>
  <dcterms:created xsi:type="dcterms:W3CDTF">2015-06-05T18:19:34Z</dcterms:created>
  <dcterms:modified xsi:type="dcterms:W3CDTF">2020-11-28T12:29:38Z</dcterms:modified>
</cp:coreProperties>
</file>